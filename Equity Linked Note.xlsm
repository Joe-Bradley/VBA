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filterPrivacy="1" codeName="ThisWorkbook"/>
  <xr:revisionPtr revIDLastSave="0" documentId="13_ncr:1_{D7DC48C8-CD82-46E2-97D7-B78045A5FB0C}" xr6:coauthVersionLast="47" xr6:coauthVersionMax="47" xr10:uidLastSave="{00000000-0000-0000-0000-000000000000}"/>
  <bookViews>
    <workbookView xWindow="-98" yWindow="-98" windowWidth="19396" windowHeight="10276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B12" i="1"/>
  <c r="B17" i="1"/>
  <c r="B16" i="1"/>
  <c r="B15" i="1"/>
  <c r="B14" i="1"/>
  <c r="B13" i="1"/>
  <c r="B9" i="1"/>
  <c r="B7" i="1"/>
  <c r="B4" i="1"/>
  <c r="B3" i="1"/>
  <c r="B2" i="1"/>
  <c r="C22" i="1" a="1"/>
  <c r="C21" i="1" a="1"/>
  <c r="C20" i="1" a="1"/>
  <c r="C19" i="1" a="1"/>
  <c r="C20" i="1" l="1"/>
  <c r="C21" i="1"/>
  <c r="C22" i="1"/>
  <c r="C19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<sst xmlns="http://schemas.openxmlformats.org/spreadsheetml/2006/main" count="23" uniqueCount="22">
  <si>
    <t>parameter</t>
    <phoneticPr fontId="1" type="noConversion"/>
  </si>
  <si>
    <t xml:space="preserve">value </t>
    <phoneticPr fontId="1" type="noConversion"/>
  </si>
  <si>
    <t>discounter factor(7 day)</t>
    <phoneticPr fontId="1" type="noConversion"/>
  </si>
  <si>
    <t>discounter factor(14 day)</t>
    <phoneticPr fontId="1" type="noConversion"/>
  </si>
  <si>
    <t>K</t>
    <phoneticPr fontId="1" type="noConversion"/>
  </si>
  <si>
    <t>N</t>
    <phoneticPr fontId="1" type="noConversion"/>
  </si>
  <si>
    <t>T</t>
    <phoneticPr fontId="1" type="noConversion"/>
  </si>
  <si>
    <t>calculated variable</t>
    <phoneticPr fontId="1" type="noConversion"/>
  </si>
  <si>
    <t>d1</t>
    <phoneticPr fontId="1" type="noConversion"/>
  </si>
  <si>
    <t>d2</t>
    <phoneticPr fontId="1" type="noConversion"/>
  </si>
  <si>
    <t>volatility</t>
    <phoneticPr fontId="1" type="noConversion"/>
  </si>
  <si>
    <t>Continuous Interest Rate</t>
    <phoneticPr fontId="1" type="noConversion"/>
  </si>
  <si>
    <t>interest rate</t>
    <phoneticPr fontId="1" type="noConversion"/>
  </si>
  <si>
    <t>dividen</t>
    <phoneticPr fontId="1" type="noConversion"/>
  </si>
  <si>
    <t>repo rate</t>
    <phoneticPr fontId="1" type="noConversion"/>
  </si>
  <si>
    <t>price</t>
    <phoneticPr fontId="1" type="noConversion"/>
  </si>
  <si>
    <t>Delta</t>
    <phoneticPr fontId="1" type="noConversion"/>
  </si>
  <si>
    <t>Vega</t>
    <phoneticPr fontId="1" type="noConversion"/>
  </si>
  <si>
    <t>Rho</t>
    <phoneticPr fontId="1" type="noConversion"/>
  </si>
  <si>
    <t>N(d1)</t>
    <phoneticPr fontId="1" type="noConversion"/>
  </si>
  <si>
    <t>N(d2)</t>
    <phoneticPr fontId="1" type="noConversion"/>
  </si>
  <si>
    <t>By vba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</si>
</sst>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6"/>
      <scheme val="minor"/>
    </font>
    <font>
      <sz val="11"/>
      <color theme="1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2" borderId="0" xfId="0" applyFont="1" applyFill="1"/>
    <xf numFmtId="0" fontId="0" fillId="2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2"/>
  <sheetViews>
    <sheetView tabSelected="1" showRuler="0" topLeftCell="A10" zoomScaleNormal="100" workbookViewId="0">
      <selection activeCell="A26" sqref="A26"/>
    </sheetView>
  </sheetViews>
  <sheetFormatPr defaultColWidth="8.796875" defaultRowHeight="13.9" x14ac:dyDescent="0.4"/>
  <cols>
    <col min="1" max="1" width="29.1328125" style="1" customWidth="1"/>
    <col min="2" max="2" width="33" customWidth="1"/>
    <col min="3" max="3" width="25.1328125" customWidth="1"/>
    <col min="4" max="4" width="20.33203125" customWidth="1"/>
  </cols>
  <sheetData>
    <row r="1" spans="1:2" s="3" customFormat="1" x14ac:dyDescent="0.4">
      <c r="A1" s="2" t="s">
        <v>0</v>
      </c>
      <c r="B1" s="2" t="s">
        <v>1</v>
      </c>
    </row>
    <row r="2" spans="1:2" x14ac:dyDescent="0.4">
      <c r="A2" s="1" t="s">
        <v>12</v>
      </c>
      <c r="B2" s="1">
        <f>2.75/100</f>
        <v>2.75E-2</v>
      </c>
    </row>
    <row r="3" spans="1:2" x14ac:dyDescent="0.4">
      <c r="A3" s="1" t="s">
        <v>13</v>
      </c>
      <c r="B3" s="1">
        <f>3.5/100</f>
        <v>3.5000000000000003E-2</v>
      </c>
    </row>
    <row r="4" spans="1:2" x14ac:dyDescent="0.4">
      <c r="A4" s="1" t="s">
        <v>14</v>
      </c>
      <c r="B4" s="1">
        <f>2/100</f>
        <v>0.02</v>
      </c>
    </row>
    <row r="5" spans="1:2" x14ac:dyDescent="0.4">
      <c r="A5" s="1" t="s">
        <v>4</v>
      </c>
      <c r="B5" s="1">
        <v>0.93</v>
      </c>
    </row>
    <row r="6" spans="1:2" x14ac:dyDescent="0.4">
      <c r="A6" s="1" t="s">
        <v>5</v>
      </c>
      <c r="B6" s="1">
        <v>100000</v>
      </c>
    </row>
    <row r="7" spans="1:2" x14ac:dyDescent="0.4">
      <c r="A7" s="1" t="s">
        <v>6</v>
      </c>
      <c r="B7" s="1">
        <f>30/360</f>
        <v>8.3333333333333329E-2</v>
      </c>
    </row>
    <row r="8" spans="1:2" x14ac:dyDescent="0.4">
      <c r="A8" s="1" t="s">
        <v>10</v>
      </c>
      <c r="B8" s="1">
        <v>0.3</v>
      </c>
    </row>
    <row r="9" spans="1:2" x14ac:dyDescent="0.4">
      <c r="A9" s="1" t="s">
        <v>11</v>
      </c>
      <c r="B9" s="1">
        <f>LN(1+30/360*2.75/100)*12</f>
        <v>2.7468537641655865E-2</v>
      </c>
    </row>
    <row r="11" spans="1:2" s="3" customFormat="1" x14ac:dyDescent="0.4">
      <c r="A11" s="2" t="s">
        <v>7</v>
      </c>
      <c r="B11" s="2" t="s">
        <v>1</v>
      </c>
    </row>
    <row r="12" spans="1:2" x14ac:dyDescent="0.4">
      <c r="A12" s="1" t="s">
        <v>8</v>
      </c>
      <c r="B12" s="1">
        <f>(LN(B5)-(B9-B3-B4+0.5*B8^2)*B7)/(B8*B7^0.5)</f>
        <v>-0.85478328905232892</v>
      </c>
    </row>
    <row r="13" spans="1:2" x14ac:dyDescent="0.4">
      <c r="A13" s="1" t="s">
        <v>9</v>
      </c>
      <c r="B13" s="1">
        <f>(LN(B5)-(B9-B3-B4-0.5*B8^2)*B7)/(B8*B7^0.5)</f>
        <v>-0.76818074867388508</v>
      </c>
    </row>
    <row r="14" spans="1:2" x14ac:dyDescent="0.4">
      <c r="A14" s="1" t="s">
        <v>2</v>
      </c>
      <c r="B14" s="1">
        <f>1/(1+7/360*2.75/100)</f>
        <v>0.99946556355282234</v>
      </c>
    </row>
    <row r="15" spans="1:2" x14ac:dyDescent="0.4">
      <c r="A15" s="1" t="s">
        <v>3</v>
      </c>
      <c r="B15" s="1">
        <f>1/(1+14/360*2.75/100)</f>
        <v>0.99893169804514625</v>
      </c>
    </row>
    <row r="16" spans="1:2" x14ac:dyDescent="0.4">
      <c r="A16" s="1" t="s">
        <v>19</v>
      </c>
      <c r="B16" s="1">
        <f>_xlfn.NORM.DIST(B13, 0, 1, TRUE)</f>
        <v>0.22118990455102974</v>
      </c>
    </row>
    <row r="17" spans="1:3" x14ac:dyDescent="0.4">
      <c r="A17" s="1" t="s">
        <v>20</v>
      </c>
      <c r="B17" s="1">
        <f>_xlfn.NORM.DIST(B12, 0, 1, TRUE)</f>
        <v>0.19633556556327889</v>
      </c>
    </row>
    <row r="18" spans="1:3" x14ac:dyDescent="0.4">
      <c r="C18" s="1" t="s">
        <v>21</v>
      </c>
    </row>
    <row r="19" spans="1:3" x14ac:dyDescent="0.4">
      <c r="A19" s="1" t="s">
        <v>15</v>
      </c>
      <c r="B19" s="1">
        <f>(B6*B14*(EXP(-1*B9*B7)-EXP(-1*B9*B7)*B16+1/B5*B17*EXP(-1*(B3+B4)*B7)))/B6</f>
        <v>0.9866499412235018</v>
      </c>
      <c r="C19" s="1" cm="1">
        <f t="array" ref="C19">cal_price(B5,B6,B7,B8,B2,B3+B4,1)</f>
        <v>0.98664994122350202</v>
      </c>
    </row>
    <row r="20" spans="1:3" x14ac:dyDescent="0.4">
      <c r="A20" s="1" t="s">
        <v>16</v>
      </c>
      <c r="C20" s="1" cm="1">
        <f t="array" ref="C20">(cal_price(B5,B6,B7,B8,B2,B3+B4,1.0001)-cal_price(B5,B6,B7,B8,B2,B3+B4,0.9999))/0.0002</f>
        <v>0.21003581098966162</v>
      </c>
    </row>
    <row r="21" spans="1:3" x14ac:dyDescent="0.4">
      <c r="A21" s="1" t="s">
        <v>17</v>
      </c>
      <c r="C21" s="1" cm="1">
        <f t="array" ref="C21">(cal_price(B5,B6,B7,B8+B8*0.01,B2,B3+B4,1)-cal_price(B5,B6,B7,B8-B8*0.01,B2,B3+B4,1))/(B8*0.02)</f>
        <v>-8.5495453041669237E-2</v>
      </c>
    </row>
    <row r="22" spans="1:3" x14ac:dyDescent="0.4">
      <c r="A22" s="1" t="s">
        <v>18</v>
      </c>
      <c r="C22" s="1" cm="1">
        <f t="array" ref="C22">(cal_price(B5,B6,B7,B8,B2+0.0001,B3+B4,1)-cal_price(B5,B6,B7,B8,B2-0.0001,B3+B4,1))/(0.0002)</f>
        <v>-8.374447840131527E-2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2023-08-23T16:16:21Z</dcterms:modified>
</cp:coreProperties>
</file>